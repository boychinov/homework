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oychinov/Downloads/"/>
    </mc:Choice>
  </mc:AlternateContent>
  <xr:revisionPtr revIDLastSave="0" documentId="13_ncr:1_{270E2265-9690-1640-A690-223EEA0915A0}" xr6:coauthVersionLast="47" xr6:coauthVersionMax="47" xr10:uidLastSave="{00000000-0000-0000-0000-000000000000}"/>
  <bookViews>
    <workbookView xWindow="3480" yWindow="1180" windowWidth="34560" windowHeight="20200" xr2:uid="{00000000-000D-0000-FFFF-FFFF00000000}"/>
  </bookViews>
  <sheets>
    <sheet name="Göre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OyT73HuyB3KE0X0rlLAf9AfF0WdO6gi7nOgyua+R0t0="/>
    </ext>
  </extLst>
</workbook>
</file>

<file path=xl/calcChain.xml><?xml version="1.0" encoding="utf-8"?>
<calcChain xmlns="http://schemas.openxmlformats.org/spreadsheetml/2006/main">
  <c r="E51" i="1" l="1"/>
  <c r="E50" i="1"/>
  <c r="E49" i="1"/>
  <c r="E48" i="1"/>
  <c r="H23" i="1"/>
  <c r="H22" i="1"/>
  <c r="H21" i="1"/>
  <c r="H20" i="1"/>
</calcChain>
</file>

<file path=xl/sharedStrings.xml><?xml version="1.0" encoding="utf-8"?>
<sst xmlns="http://schemas.openxmlformats.org/spreadsheetml/2006/main" count="43" uniqueCount="32">
  <si>
    <t>Görev 1</t>
  </si>
  <si>
    <t>Sınıf = 1</t>
  </si>
  <si>
    <t>Sınıf = 0</t>
  </si>
  <si>
    <t xml:space="preserve">
Müşterinin churn olup olmama durumunu tahminleyen bir sınıflandırma modeli oluşturulmuştur. 10 test verisi gözleminin gerçek değerleri ve modelin tahmin ettiği olasılık değerleri verilmiştir.
- Eşik değerini 0.5 alarak confusion matrix oluşturunuz.
- Accuracy, Recall, Precision, F1 Skorlarını hesaplayınız. 
</t>
  </si>
  <si>
    <t>TP</t>
  </si>
  <si>
    <t>FN</t>
  </si>
  <si>
    <t>FP</t>
  </si>
  <si>
    <t>TN</t>
  </si>
  <si>
    <r>
      <rPr>
        <b/>
        <sz val="10"/>
        <color theme="1"/>
        <rFont val="Arial"/>
        <family val="2"/>
      </rPr>
      <t xml:space="preserve">
ACCURACY:</t>
    </r>
    <r>
      <rPr>
        <sz val="10"/>
        <color theme="1"/>
        <rFont val="Arial"/>
        <family val="2"/>
      </rPr>
      <t xml:space="preserve"> Doğru sınıflandırma oranı (TP + TN) / (TP+TN+FP+FN)
</t>
    </r>
    <r>
      <rPr>
        <b/>
        <sz val="10"/>
        <color theme="1"/>
        <rFont val="Arial"/>
        <family val="2"/>
      </rPr>
      <t xml:space="preserve">
PRECISION:</t>
    </r>
    <r>
      <rPr>
        <sz val="10"/>
        <color theme="1"/>
        <rFont val="Arial"/>
        <family val="2"/>
      </rPr>
      <t xml:space="preserve"> Pozitif sınıf tahminlerinin başarı oranı TP / (TP+FP)
</t>
    </r>
    <r>
      <rPr>
        <b/>
        <sz val="10"/>
        <color theme="1"/>
        <rFont val="Arial"/>
        <family val="2"/>
      </rPr>
      <t xml:space="preserve">
RECALL: </t>
    </r>
    <r>
      <rPr>
        <sz val="10"/>
        <color theme="1"/>
        <rFont val="Arial"/>
        <family val="2"/>
      </rPr>
      <t xml:space="preserve"> Pozitif sınıfın doğru tahmin edilme oranı  TP / (TP+FN)
</t>
    </r>
    <r>
      <rPr>
        <b/>
        <sz val="10"/>
        <color theme="1"/>
        <rFont val="Arial"/>
        <family val="2"/>
      </rPr>
      <t xml:space="preserve">
F1-SCORE:</t>
    </r>
    <r>
      <rPr>
        <sz val="10"/>
        <color theme="1"/>
        <rFont val="Arial"/>
        <family val="2"/>
      </rPr>
      <t xml:space="preserve"> 2*(precision*recall) /  (precision + recall)
</t>
    </r>
  </si>
  <si>
    <t>Gerçek Değerler</t>
  </si>
  <si>
    <t>Model Olasılık Tahmini (1 sınıfına ait olma olasılığı)</t>
  </si>
  <si>
    <t>0.7</t>
  </si>
  <si>
    <t>0.8</t>
  </si>
  <si>
    <t>Churn (1)</t>
  </si>
  <si>
    <t>Non-Churn(0)</t>
  </si>
  <si>
    <t>0.65</t>
  </si>
  <si>
    <t>0.9</t>
  </si>
  <si>
    <t>0.45</t>
  </si>
  <si>
    <t>0.5</t>
  </si>
  <si>
    <t>0.55</t>
  </si>
  <si>
    <t>0.35</t>
  </si>
  <si>
    <t>0.4</t>
  </si>
  <si>
    <t>Başarı Değerlendirme Metrikleri</t>
  </si>
  <si>
    <t>0.25</t>
  </si>
  <si>
    <t>Accuracy</t>
  </si>
  <si>
    <t>Recall</t>
  </si>
  <si>
    <t>Precision</t>
  </si>
  <si>
    <t>F1 Score</t>
  </si>
  <si>
    <t>Görev 2</t>
  </si>
  <si>
    <t xml:space="preserve">Banka üzerinden yapılan işlemler sırasında dolandırıcılık işlemlerinin yakalanması amacıyla sınıflandırma modeli oluşturulmuştur. %90.5 doğruluk oranı elde edilen modelin başarısı yeterli bulunup model canlıya alınmıştır. Ancak canlıya alındıktan sonra modelin çıktıları beklendiği gibi olmamış, iş birimi modelin başarısız olduğunu iletmiştir. Aşağıda modelin tahmin sonuçlarının karmaşıklık matriksi verilmiştir. Buna göre;
-  Accuracy, Recall, Precision, F1 Skorlarını hesaplayınız.
-  Veri Bilimi ekibinin gözden kaçırdığı durum ne olabilir yorumlayınız.
</t>
  </si>
  <si>
    <t>Fraud (1)</t>
  </si>
  <si>
    <t>Non-Fraud(0)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</si>
</sst>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7" formatCode="0.000"/>
  </numFmts>
  <fonts count="9" x14ac:knownFonts="1">
    <font>
      <sz val="10"/>
      <color rgb="FF000000"/>
      <name val="Arial"/>
      <scheme val="minor"/>
    </font>
    <font>
      <sz val="10"/>
      <color theme="1"/>
      <name val="Arial"/>
      <family val="2"/>
    </font>
    <font>
      <sz val="10"/>
      <color rgb="FF000000"/>
      <name val="Arial"/>
      <family val="2"/>
    </font>
    <font>
      <b/>
      <sz val="14"/>
      <color theme="1"/>
      <name val="Arial"/>
      <family val="2"/>
    </font>
    <font>
      <b/>
      <sz val="12"/>
      <color theme="1"/>
      <name val="Arial"/>
      <family val="2"/>
    </font>
    <font>
      <sz val="10"/>
      <name val="Arial"/>
      <family val="2"/>
    </font>
    <font>
      <b/>
      <sz val="10"/>
      <color theme="1"/>
      <name val="Arial"/>
      <family val="2"/>
    </font>
    <font>
      <b/>
      <sz val="10"/>
      <color theme="1"/>
      <name val="Arial"/>
      <family val="2"/>
    </font>
    <font>
      <sz val="10"/>
      <color rgb="FF000000"/>
      <name val="Arial"/>
      <family val="2"/>
      <scheme val="minor"/>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s>
  <borders count="36">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style="medium">
        <color rgb="FF000000"/>
      </left>
      <right style="medium">
        <color rgb="FF000000"/>
      </right>
      <top style="medium">
        <color rgb="FF000000"/>
      </top>
      <bottom style="medium">
        <color rgb="FF000000"/>
      </bottom>
      <diagonal/>
    </border>
    <border>
      <left/>
      <right style="medium">
        <color rgb="FFFFFFFF"/>
      </right>
      <top style="medium">
        <color rgb="FFFFFFFF"/>
      </top>
      <bottom/>
      <diagonal/>
    </border>
    <border>
      <left style="dotted">
        <color rgb="FFFFFFFF"/>
      </left>
      <right/>
      <top style="dotted">
        <color rgb="FFFFFFFF"/>
      </top>
      <bottom/>
      <diagonal/>
    </border>
    <border>
      <left style="thin">
        <color rgb="FF000000"/>
      </left>
      <right style="thin">
        <color rgb="FF000000"/>
      </right>
      <top style="thin">
        <color rgb="FF000000"/>
      </top>
      <bottom style="thin">
        <color rgb="FF000000"/>
      </bottom>
      <diagonal/>
    </border>
    <border>
      <left/>
      <right style="medium">
        <color rgb="FFFFFFFF"/>
      </right>
      <top style="medium">
        <color rgb="FFFFFFFF"/>
      </top>
      <bottom style="medium">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FFFFFF"/>
      </top>
      <bottom style="medium">
        <color rgb="FFFFFFFF"/>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dotted">
        <color rgb="FFFFFFFF"/>
      </top>
      <bottom/>
      <diagonal/>
    </border>
    <border>
      <left/>
      <right style="medium">
        <color rgb="FFFFFFFF"/>
      </right>
      <top style="dotted">
        <color rgb="FFFFFFFF"/>
      </top>
      <bottom/>
      <diagonal/>
    </border>
    <border>
      <left style="medium">
        <color rgb="FFFFFFFF"/>
      </left>
      <right style="medium">
        <color rgb="FFFFFFFF"/>
      </right>
      <top/>
      <bottom style="medium">
        <color rgb="FFFFFFFF"/>
      </bottom>
      <diagonal/>
    </border>
    <border>
      <left/>
      <right style="medium">
        <color rgb="FFFFFFFF"/>
      </right>
      <top/>
      <bottom/>
      <diagonal/>
    </border>
    <border>
      <left/>
      <right/>
      <top/>
      <bottom style="medium">
        <color rgb="FFFFFFFF"/>
      </bottom>
      <diagonal/>
    </border>
    <border>
      <left/>
      <right style="medium">
        <color rgb="FFFFFFFF"/>
      </right>
      <top/>
      <bottom style="medium">
        <color rgb="FFFFFFFF"/>
      </bottom>
      <diagonal/>
    </border>
    <border>
      <left style="dotted">
        <color rgb="FFFFFFFF"/>
      </left>
      <right style="dotted">
        <color rgb="FFFFFFFF"/>
      </right>
      <top style="dotted">
        <color rgb="FFFFFFFF"/>
      </top>
      <bottom style="dotted">
        <color rgb="FFFFFFFF"/>
      </bottom>
      <diagonal/>
    </border>
    <border>
      <left style="dotted">
        <color rgb="FFFFFFFF"/>
      </left>
      <right style="dotted">
        <color rgb="FFFFFFFF"/>
      </right>
      <top/>
      <bottom style="dotted">
        <color rgb="FFFFFFFF"/>
      </bottom>
      <diagonal/>
    </border>
    <border>
      <left style="dotted">
        <color rgb="FFFFFFFF"/>
      </left>
      <right/>
      <top style="dotted">
        <color rgb="FFFFFFFF"/>
      </top>
      <bottom style="dotted">
        <color rgb="FFFFFFFF"/>
      </bottom>
      <diagonal/>
    </border>
    <border>
      <left/>
      <right style="dotted">
        <color rgb="FFFFFFFF"/>
      </right>
      <top style="dotted">
        <color rgb="FFFFFFFF"/>
      </top>
      <bottom style="dotted">
        <color rgb="FFFFFFFF"/>
      </bottom>
      <diagonal/>
    </border>
    <border>
      <left style="dotted">
        <color rgb="FFFFFFFF"/>
      </left>
      <right style="dotted">
        <color rgb="FFFFFFFF"/>
      </right>
      <top style="dotted">
        <color rgb="FFFFFFFF"/>
      </top>
      <bottom/>
      <diagonal/>
    </border>
    <border>
      <left style="dotted">
        <color rgb="FFFFFFFF"/>
      </left>
      <right style="dotted">
        <color rgb="FFFFFFFF"/>
      </right>
      <top/>
      <bottom/>
      <diagonal/>
    </border>
    <border>
      <left/>
      <right style="dotted">
        <color rgb="FFFFFFFF"/>
      </right>
      <top style="dotted">
        <color rgb="FFFFFFFF"/>
      </top>
      <bottom/>
      <diagonal/>
    </border>
    <border>
      <left style="dotted">
        <color rgb="FFFFFFFF"/>
      </left>
      <right/>
      <top/>
      <bottom style="dotted">
        <color rgb="FFFFFFFF"/>
      </bottom>
      <diagonal/>
    </border>
    <border>
      <left/>
      <right style="dotted">
        <color rgb="FFFFFFFF"/>
      </right>
      <top/>
      <bottom style="dotted">
        <color rgb="FFFFFFFF"/>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2">
    <xf numFmtId="0" fontId="0" fillId="0" borderId="0"/>
    <xf numFmtId="43" fontId="8" fillId="0" borderId="0" applyFont="0" applyFill="0" applyBorder="0" applyAlignment="0" applyProtection="0"/>
  </cellStyleXfs>
  <cellXfs count="55">
    <xf numFmtId="0" fontId="0" fillId="0" borderId="0" xfId="0"/>
    <xf numFmtId="0" fontId="1" fillId="2" borderId="1" xfId="0" applyFont="1" applyFill="1" applyBorder="1"/>
    <xf numFmtId="0" fontId="1" fillId="2" borderId="2" xfId="0" applyFont="1" applyFill="1" applyBorder="1"/>
    <xf numFmtId="0" fontId="2" fillId="3" borderId="1" xfId="0" applyFont="1" applyFill="1" applyBorder="1" applyAlignment="1">
      <alignment horizontal="left"/>
    </xf>
    <xf numFmtId="0" fontId="1" fillId="2" borderId="3" xfId="0" applyFont="1" applyFill="1" applyBorder="1"/>
    <xf numFmtId="0" fontId="3" fillId="4" borderId="4" xfId="0" applyFont="1" applyFill="1" applyBorder="1"/>
    <xf numFmtId="0" fontId="1" fillId="2" borderId="5" xfId="0" applyFont="1" applyFill="1" applyBorder="1"/>
    <xf numFmtId="0" fontId="2" fillId="3" borderId="2" xfId="0" applyFont="1" applyFill="1" applyBorder="1" applyAlignment="1">
      <alignment horizontal="left"/>
    </xf>
    <xf numFmtId="0" fontId="1" fillId="2" borderId="6" xfId="0" applyFont="1" applyFill="1" applyBorder="1"/>
    <xf numFmtId="0" fontId="4" fillId="2" borderId="7" xfId="0" applyFont="1" applyFill="1" applyBorder="1" applyAlignment="1">
      <alignment horizontal="center"/>
    </xf>
    <xf numFmtId="0" fontId="1" fillId="2" borderId="8" xfId="0" applyFont="1" applyFill="1" applyBorder="1"/>
    <xf numFmtId="0" fontId="1" fillId="2" borderId="12" xfId="0" applyFont="1" applyFill="1" applyBorder="1"/>
    <xf numFmtId="0" fontId="1" fillId="2" borderId="7" xfId="0" applyFont="1" applyFill="1" applyBorder="1" applyAlignment="1">
      <alignment horizontal="center"/>
    </xf>
    <xf numFmtId="0" fontId="1" fillId="2" borderId="20" xfId="0" applyFont="1" applyFill="1" applyBorder="1"/>
    <xf numFmtId="0" fontId="2" fillId="3" borderId="20" xfId="0" applyFont="1" applyFill="1" applyBorder="1" applyAlignment="1">
      <alignment horizontal="left"/>
    </xf>
    <xf numFmtId="0" fontId="1" fillId="2" borderId="24" xfId="0" applyFont="1" applyFill="1" applyBorder="1"/>
    <xf numFmtId="0" fontId="1" fillId="2" borderId="25"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xf numFmtId="0" fontId="1" fillId="2" borderId="29" xfId="0" applyFont="1" applyFill="1" applyBorder="1"/>
    <xf numFmtId="0" fontId="3" fillId="3" borderId="4" xfId="0" applyFont="1" applyFill="1" applyBorder="1" applyAlignment="1">
      <alignment horizontal="center"/>
    </xf>
    <xf numFmtId="0" fontId="6" fillId="5" borderId="4" xfId="0" applyFont="1" applyFill="1" applyBorder="1" applyAlignment="1">
      <alignment horizontal="center"/>
    </xf>
    <xf numFmtId="0" fontId="6" fillId="5" borderId="4" xfId="0" applyFont="1" applyFill="1" applyBorder="1" applyAlignment="1">
      <alignment horizontal="center" wrapText="1"/>
    </xf>
    <xf numFmtId="0" fontId="4" fillId="2" borderId="4" xfId="0" applyFont="1" applyFill="1" applyBorder="1" applyAlignment="1">
      <alignment horizontal="center"/>
    </xf>
    <xf numFmtId="0" fontId="1" fillId="2" borderId="30" xfId="0" applyFont="1" applyFill="1" applyBorder="1"/>
    <xf numFmtId="0" fontId="1" fillId="2" borderId="7" xfId="0" applyFont="1" applyFill="1" applyBorder="1"/>
    <xf numFmtId="0" fontId="1" fillId="2" borderId="31" xfId="0" applyFont="1" applyFill="1" applyBorder="1"/>
    <xf numFmtId="0" fontId="1" fillId="0" borderId="7" xfId="0" applyFont="1" applyBorder="1"/>
    <xf numFmtId="0" fontId="1" fillId="2" borderId="32" xfId="0" applyFont="1" applyFill="1" applyBorder="1"/>
    <xf numFmtId="0" fontId="4" fillId="3" borderId="35" xfId="0" applyFont="1" applyFill="1" applyBorder="1"/>
    <xf numFmtId="0" fontId="1" fillId="0" borderId="1" xfId="0" applyFont="1" applyBorder="1"/>
    <xf numFmtId="0" fontId="1" fillId="0" borderId="3" xfId="0" applyFont="1" applyBorder="1"/>
    <xf numFmtId="0" fontId="1" fillId="0" borderId="7" xfId="0" applyFont="1" applyBorder="1" applyAlignment="1">
      <alignment horizontal="center"/>
    </xf>
    <xf numFmtId="0" fontId="1" fillId="2" borderId="32" xfId="0" applyFont="1" applyFill="1" applyBorder="1" applyAlignment="1">
      <alignment horizontal="center"/>
    </xf>
    <xf numFmtId="0" fontId="4" fillId="2" borderId="9" xfId="0" applyFont="1" applyFill="1" applyBorder="1" applyAlignment="1">
      <alignment horizontal="left" vertical="center" wrapText="1"/>
    </xf>
    <xf numFmtId="0" fontId="5" fillId="0" borderId="10" xfId="0" applyFont="1" applyBorder="1"/>
    <xf numFmtId="0" fontId="5" fillId="0" borderId="11" xfId="0" applyFont="1" applyBorder="1"/>
    <xf numFmtId="0" fontId="5" fillId="0" borderId="13" xfId="0" applyFont="1" applyBorder="1"/>
    <xf numFmtId="0" fontId="0" fillId="0" borderId="0" xfId="0"/>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1" fillId="2" borderId="18" xfId="0" applyFont="1" applyFill="1" applyBorder="1"/>
    <xf numFmtId="0" fontId="5" fillId="0" borderId="18" xfId="0" applyFont="1" applyBorder="1"/>
    <xf numFmtId="0" fontId="5" fillId="0" borderId="19" xfId="0" applyFont="1" applyBorder="1"/>
    <xf numFmtId="0" fontId="5" fillId="0" borderId="21" xfId="0" applyFont="1" applyBorder="1"/>
    <xf numFmtId="0" fontId="5" fillId="0" borderId="22" xfId="0" applyFont="1" applyBorder="1"/>
    <xf numFmtId="0" fontId="5" fillId="0" borderId="23" xfId="0" applyFont="1" applyBorder="1"/>
    <xf numFmtId="0" fontId="7" fillId="6" borderId="33" xfId="0" applyFont="1" applyFill="1" applyBorder="1" applyAlignment="1">
      <alignment horizontal="center"/>
    </xf>
    <xf numFmtId="0" fontId="5" fillId="0" borderId="34" xfId="0" applyFont="1" applyBorder="1"/>
    <xf numFmtId="0" fontId="4" fillId="2" borderId="9" xfId="0" applyFont="1" applyFill="1" applyBorder="1" applyAlignment="1">
      <alignment horizontal="left" vertical="top" wrapText="1"/>
    </xf>
    <xf numFmtId="167" fontId="1" fillId="7" borderId="17" xfId="0" applyNumberFormat="1" applyFont="1" applyFill="1" applyBorder="1"/>
    <xf numFmtId="167" fontId="1" fillId="7" borderId="17" xfId="1"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219075</xdr:colOff>
      <xdr:row>9</xdr:row>
      <xdr:rowOff>57150</xdr:rowOff>
    </xdr:from>
    <xdr:ext cx="1552575" cy="361950"/>
    <xdr:pic>
      <xdr:nvPicPr>
        <xdr:cNvPr id="2" name="image1.png" title="Resim">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1171575</xdr:colOff>
      <xdr:row>9</xdr:row>
      <xdr:rowOff>209550</xdr:rowOff>
    </xdr:from>
    <xdr:ext cx="333375" cy="1457325"/>
    <xdr:pic>
      <xdr:nvPicPr>
        <xdr:cNvPr id="3" name="image2.png" title="Resim">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723900</xdr:colOff>
      <xdr:row>0</xdr:row>
      <xdr:rowOff>323850</xdr:rowOff>
    </xdr:from>
    <xdr:ext cx="333375" cy="1457325"/>
    <xdr:pic>
      <xdr:nvPicPr>
        <xdr:cNvPr id="4" name="image2.png" title="Resim">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133350</xdr:colOff>
      <xdr:row>0</xdr:row>
      <xdr:rowOff>76200</xdr:rowOff>
    </xdr:from>
    <xdr:ext cx="1552575" cy="361950"/>
    <xdr:pic>
      <xdr:nvPicPr>
        <xdr:cNvPr id="5" name="image1.png" title="Resim">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1009650</xdr:colOff>
      <xdr:row>37</xdr:row>
      <xdr:rowOff>171450</xdr:rowOff>
    </xdr:from>
    <xdr:ext cx="1552575" cy="361950"/>
    <xdr:pic>
      <xdr:nvPicPr>
        <xdr:cNvPr id="6" name="image1.png" title="Resim">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457200</xdr:colOff>
      <xdr:row>39</xdr:row>
      <xdr:rowOff>28575</xdr:rowOff>
    </xdr:from>
    <xdr:ext cx="333375" cy="1457325"/>
    <xdr:pic>
      <xdr:nvPicPr>
        <xdr:cNvPr id="7" name="image2.png" title="Resim">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16" workbookViewId="0">
      <selection activeCell="E51" sqref="E51"/>
    </sheetView>
  </sheetViews>
  <sheetFormatPr baseColWidth="10" defaultColWidth="12.6640625" defaultRowHeight="15" customHeight="1" x14ac:dyDescent="0.15"/>
  <cols>
    <col min="1" max="1" width="12.6640625" customWidth="1"/>
    <col min="2" max="2" width="11.1640625" customWidth="1"/>
    <col min="3" max="3" width="20" customWidth="1"/>
    <col min="4" max="4" width="23.1640625" customWidth="1"/>
    <col min="5" max="5" width="21" customWidth="1"/>
    <col min="6" max="6" width="15.5" customWidth="1"/>
    <col min="7" max="7" width="15.33203125" customWidth="1"/>
    <col min="8" max="8" width="14" customWidth="1"/>
  </cols>
  <sheetData>
    <row r="1" spans="1:26" ht="30.75" customHeight="1" x14ac:dyDescent="0.15">
      <c r="A1" s="1"/>
      <c r="B1" s="2"/>
      <c r="C1" s="1"/>
      <c r="D1" s="1"/>
      <c r="E1" s="1"/>
      <c r="F1" s="3"/>
      <c r="G1" s="1"/>
      <c r="H1" s="1"/>
      <c r="I1" s="1"/>
      <c r="J1" s="2"/>
      <c r="K1" s="2"/>
      <c r="L1" s="1"/>
      <c r="M1" s="1"/>
      <c r="N1" s="1"/>
      <c r="O1" s="1"/>
      <c r="P1" s="1"/>
      <c r="Q1" s="1"/>
      <c r="R1" s="1"/>
      <c r="S1" s="1"/>
      <c r="T1" s="1"/>
      <c r="U1" s="1"/>
      <c r="V1" s="1"/>
      <c r="W1" s="1"/>
      <c r="X1" s="1"/>
      <c r="Y1" s="1"/>
      <c r="Z1" s="1"/>
    </row>
    <row r="2" spans="1:26" ht="15.75" customHeight="1" x14ac:dyDescent="0.2">
      <c r="A2" s="4"/>
      <c r="B2" s="5" t="s">
        <v>0</v>
      </c>
      <c r="C2" s="6"/>
      <c r="D2" s="2"/>
      <c r="E2" s="2"/>
      <c r="F2" s="7"/>
      <c r="G2" s="2"/>
      <c r="H2" s="1"/>
      <c r="I2" s="8"/>
      <c r="J2" s="9" t="s">
        <v>1</v>
      </c>
      <c r="K2" s="9" t="s">
        <v>2</v>
      </c>
      <c r="L2" s="10"/>
      <c r="M2" s="1"/>
      <c r="N2" s="1"/>
      <c r="O2" s="1"/>
      <c r="P2" s="1"/>
      <c r="Q2" s="1"/>
      <c r="R2" s="1"/>
      <c r="S2" s="1"/>
      <c r="T2" s="1"/>
      <c r="U2" s="1"/>
      <c r="V2" s="1"/>
      <c r="W2" s="1"/>
      <c r="X2" s="1"/>
      <c r="Y2" s="1"/>
      <c r="Z2" s="1"/>
    </row>
    <row r="3" spans="1:26" ht="27.75" customHeight="1" x14ac:dyDescent="0.2">
      <c r="A3" s="4"/>
      <c r="B3" s="35" t="s">
        <v>3</v>
      </c>
      <c r="C3" s="36"/>
      <c r="D3" s="36"/>
      <c r="E3" s="36"/>
      <c r="F3" s="36"/>
      <c r="G3" s="37"/>
      <c r="H3" s="11"/>
      <c r="I3" s="9" t="s">
        <v>1</v>
      </c>
      <c r="J3" s="12" t="s">
        <v>4</v>
      </c>
      <c r="K3" s="12" t="s">
        <v>5</v>
      </c>
      <c r="L3" s="10"/>
      <c r="M3" s="1"/>
      <c r="N3" s="1"/>
      <c r="O3" s="1"/>
      <c r="P3" s="1"/>
      <c r="Q3" s="1"/>
      <c r="R3" s="1"/>
      <c r="S3" s="1"/>
      <c r="T3" s="1"/>
      <c r="U3" s="1"/>
      <c r="V3" s="1"/>
      <c r="W3" s="1"/>
      <c r="X3" s="1"/>
      <c r="Y3" s="1"/>
      <c r="Z3" s="1"/>
    </row>
    <row r="4" spans="1:26" ht="31.5" customHeight="1" x14ac:dyDescent="0.2">
      <c r="A4" s="4"/>
      <c r="B4" s="38"/>
      <c r="C4" s="39"/>
      <c r="D4" s="39"/>
      <c r="E4" s="39"/>
      <c r="F4" s="39"/>
      <c r="G4" s="40"/>
      <c r="H4" s="11"/>
      <c r="I4" s="9" t="s">
        <v>2</v>
      </c>
      <c r="J4" s="12" t="s">
        <v>6</v>
      </c>
      <c r="K4" s="12" t="s">
        <v>7</v>
      </c>
      <c r="L4" s="10"/>
      <c r="M4" s="1"/>
      <c r="N4" s="1"/>
      <c r="O4" s="1"/>
      <c r="P4" s="1"/>
      <c r="Q4" s="1"/>
      <c r="R4" s="1"/>
      <c r="S4" s="1"/>
      <c r="T4" s="1"/>
      <c r="U4" s="1"/>
      <c r="V4" s="1"/>
      <c r="W4" s="1"/>
      <c r="X4" s="1"/>
      <c r="Y4" s="1"/>
      <c r="Z4" s="1"/>
    </row>
    <row r="5" spans="1:26" ht="84" customHeight="1" x14ac:dyDescent="0.15">
      <c r="A5" s="4"/>
      <c r="B5" s="41"/>
      <c r="C5" s="42"/>
      <c r="D5" s="42"/>
      <c r="E5" s="42"/>
      <c r="F5" s="42"/>
      <c r="G5" s="43"/>
      <c r="H5" s="10"/>
      <c r="I5" s="44" t="s">
        <v>8</v>
      </c>
      <c r="J5" s="45"/>
      <c r="K5" s="45"/>
      <c r="L5" s="45"/>
      <c r="M5" s="46"/>
      <c r="N5" s="1"/>
      <c r="O5" s="1"/>
      <c r="P5" s="1"/>
      <c r="Q5" s="1"/>
      <c r="R5" s="1"/>
      <c r="S5" s="1"/>
      <c r="T5" s="1"/>
      <c r="U5" s="1"/>
      <c r="V5" s="1"/>
      <c r="W5" s="1"/>
      <c r="X5" s="1"/>
      <c r="Y5" s="1"/>
      <c r="Z5" s="1"/>
    </row>
    <row r="6" spans="1:26" ht="15.75" customHeight="1" x14ac:dyDescent="0.15">
      <c r="A6" s="1"/>
      <c r="B6" s="13"/>
      <c r="C6" s="13"/>
      <c r="D6" s="13"/>
      <c r="E6" s="13"/>
      <c r="F6" s="14"/>
      <c r="G6" s="13"/>
      <c r="H6" s="1"/>
      <c r="I6" s="39"/>
      <c r="J6" s="39"/>
      <c r="K6" s="39"/>
      <c r="L6" s="39"/>
      <c r="M6" s="47"/>
      <c r="N6" s="1"/>
      <c r="O6" s="1"/>
      <c r="P6" s="1"/>
      <c r="Q6" s="1"/>
      <c r="R6" s="1"/>
      <c r="S6" s="1"/>
      <c r="T6" s="1"/>
      <c r="U6" s="1"/>
      <c r="V6" s="1"/>
      <c r="W6" s="1"/>
      <c r="X6" s="1"/>
      <c r="Y6" s="1"/>
      <c r="Z6" s="1"/>
    </row>
    <row r="7" spans="1:26" ht="15.75" customHeight="1" x14ac:dyDescent="0.15">
      <c r="A7" s="1"/>
      <c r="B7" s="1"/>
      <c r="C7" s="1"/>
      <c r="D7" s="1"/>
      <c r="E7" s="1"/>
      <c r="F7" s="3"/>
      <c r="G7" s="1"/>
      <c r="H7" s="1"/>
      <c r="I7" s="48"/>
      <c r="J7" s="48"/>
      <c r="K7" s="48"/>
      <c r="L7" s="48"/>
      <c r="M7" s="49"/>
      <c r="N7" s="1"/>
      <c r="O7" s="1"/>
      <c r="P7" s="1"/>
      <c r="Q7" s="1"/>
      <c r="R7" s="1"/>
      <c r="S7" s="1"/>
      <c r="T7" s="1"/>
      <c r="U7" s="1"/>
      <c r="V7" s="1"/>
      <c r="W7" s="1"/>
      <c r="X7" s="1"/>
      <c r="Y7" s="1"/>
      <c r="Z7" s="1"/>
    </row>
    <row r="8" spans="1:26" ht="15.75" customHeight="1" x14ac:dyDescent="0.15">
      <c r="A8" s="15"/>
      <c r="B8" s="16"/>
      <c r="C8" s="16"/>
      <c r="D8" s="17"/>
      <c r="E8" s="16"/>
      <c r="F8" s="16"/>
      <c r="G8" s="18"/>
      <c r="H8" s="15"/>
      <c r="I8" s="15"/>
      <c r="J8" s="15"/>
      <c r="K8" s="15"/>
      <c r="L8" s="15"/>
      <c r="M8" s="15"/>
      <c r="N8" s="15"/>
      <c r="O8" s="15"/>
      <c r="P8" s="15"/>
      <c r="Q8" s="15"/>
      <c r="R8" s="15"/>
      <c r="S8" s="15"/>
      <c r="T8" s="15"/>
      <c r="U8" s="15"/>
      <c r="V8" s="15"/>
      <c r="W8" s="15"/>
      <c r="X8" s="15"/>
      <c r="Y8" s="15"/>
      <c r="Z8" s="15"/>
    </row>
    <row r="9" spans="1:26" ht="15.75" customHeight="1" x14ac:dyDescent="0.15">
      <c r="A9" s="15"/>
      <c r="B9" s="19"/>
      <c r="C9" s="19"/>
      <c r="D9" s="15"/>
      <c r="E9" s="20"/>
      <c r="F9" s="20"/>
      <c r="G9" s="15"/>
      <c r="H9" s="15"/>
      <c r="I9" s="15"/>
      <c r="J9" s="15"/>
      <c r="K9" s="15"/>
      <c r="L9" s="15"/>
      <c r="M9" s="15"/>
      <c r="N9" s="15"/>
      <c r="O9" s="15"/>
      <c r="P9" s="15"/>
      <c r="Q9" s="15"/>
      <c r="R9" s="15"/>
      <c r="S9" s="15"/>
      <c r="T9" s="15"/>
      <c r="U9" s="15"/>
      <c r="V9" s="15"/>
      <c r="W9" s="15"/>
      <c r="X9" s="15"/>
      <c r="Y9" s="15"/>
      <c r="Z9" s="15"/>
    </row>
    <row r="10" spans="1:26" ht="15.75" customHeight="1" x14ac:dyDescent="0.2">
      <c r="A10" s="17"/>
      <c r="B10" s="21"/>
      <c r="C10" s="22" t="s">
        <v>9</v>
      </c>
      <c r="D10" s="23" t="s">
        <v>10</v>
      </c>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x14ac:dyDescent="0.2">
      <c r="A11" s="17"/>
      <c r="B11" s="24">
        <v>1</v>
      </c>
      <c r="C11" s="24">
        <v>1</v>
      </c>
      <c r="D11" s="24" t="s">
        <v>11</v>
      </c>
      <c r="E11" s="15"/>
      <c r="F11" s="15"/>
      <c r="G11" s="19"/>
      <c r="H11" s="19"/>
      <c r="I11" s="15"/>
      <c r="J11" s="15"/>
      <c r="K11" s="15"/>
      <c r="L11" s="15"/>
      <c r="M11" s="15"/>
      <c r="N11" s="15"/>
      <c r="O11" s="15"/>
      <c r="P11" s="15"/>
      <c r="Q11" s="15"/>
      <c r="R11" s="15"/>
      <c r="S11" s="15"/>
      <c r="T11" s="15"/>
      <c r="U11" s="15"/>
      <c r="V11" s="15"/>
      <c r="W11" s="15"/>
      <c r="X11" s="15"/>
      <c r="Y11" s="15"/>
      <c r="Z11" s="15"/>
    </row>
    <row r="12" spans="1:26" ht="15.75" customHeight="1" x14ac:dyDescent="0.2">
      <c r="A12" s="17"/>
      <c r="B12" s="24">
        <v>2</v>
      </c>
      <c r="C12" s="24">
        <v>1</v>
      </c>
      <c r="D12" s="24" t="s">
        <v>12</v>
      </c>
      <c r="E12" s="15"/>
      <c r="F12" s="8"/>
      <c r="G12" s="9" t="s">
        <v>13</v>
      </c>
      <c r="H12" s="9" t="s">
        <v>14</v>
      </c>
      <c r="I12" s="25"/>
      <c r="J12" s="15"/>
      <c r="K12" s="15"/>
      <c r="L12" s="15"/>
      <c r="M12" s="15"/>
      <c r="N12" s="15"/>
      <c r="O12" s="15"/>
      <c r="P12" s="15"/>
      <c r="Q12" s="15"/>
      <c r="R12" s="15"/>
      <c r="S12" s="15"/>
      <c r="T12" s="15"/>
      <c r="U12" s="15"/>
      <c r="V12" s="15"/>
      <c r="W12" s="15"/>
      <c r="X12" s="15"/>
      <c r="Y12" s="15"/>
      <c r="Z12" s="15"/>
    </row>
    <row r="13" spans="1:26" ht="15.75" customHeight="1" x14ac:dyDescent="0.2">
      <c r="A13" s="17"/>
      <c r="B13" s="24">
        <v>3</v>
      </c>
      <c r="C13" s="24">
        <v>1</v>
      </c>
      <c r="D13" s="24" t="s">
        <v>15</v>
      </c>
      <c r="E13" s="17"/>
      <c r="F13" s="9" t="s">
        <v>13</v>
      </c>
      <c r="G13" s="26">
        <v>5</v>
      </c>
      <c r="H13" s="26">
        <v>1</v>
      </c>
      <c r="I13" s="26">
        <v>6</v>
      </c>
      <c r="J13" s="18"/>
      <c r="K13" s="15"/>
      <c r="L13" s="15"/>
      <c r="M13" s="15"/>
      <c r="N13" s="15"/>
      <c r="O13" s="15"/>
      <c r="P13" s="15"/>
      <c r="Q13" s="15"/>
      <c r="R13" s="15"/>
      <c r="S13" s="15"/>
      <c r="T13" s="15"/>
      <c r="U13" s="15"/>
      <c r="V13" s="15"/>
      <c r="W13" s="15"/>
      <c r="X13" s="15"/>
      <c r="Y13" s="15"/>
      <c r="Z13" s="15"/>
    </row>
    <row r="14" spans="1:26" ht="15.75" customHeight="1" x14ac:dyDescent="0.2">
      <c r="A14" s="17"/>
      <c r="B14" s="24">
        <v>4</v>
      </c>
      <c r="C14" s="24">
        <v>1</v>
      </c>
      <c r="D14" s="24" t="s">
        <v>16</v>
      </c>
      <c r="E14" s="17"/>
      <c r="F14" s="9" t="s">
        <v>14</v>
      </c>
      <c r="G14" s="26">
        <v>1</v>
      </c>
      <c r="H14" s="26">
        <v>3</v>
      </c>
      <c r="I14" s="26">
        <v>4</v>
      </c>
      <c r="J14" s="18"/>
      <c r="K14" s="15"/>
      <c r="L14" s="15"/>
      <c r="M14" s="15"/>
      <c r="N14" s="15"/>
      <c r="O14" s="15"/>
      <c r="P14" s="15"/>
      <c r="Q14" s="15"/>
      <c r="R14" s="15"/>
      <c r="S14" s="15"/>
      <c r="T14" s="15"/>
      <c r="U14" s="15"/>
      <c r="V14" s="15"/>
      <c r="W14" s="15"/>
      <c r="X14" s="15"/>
      <c r="Y14" s="15"/>
      <c r="Z14" s="15"/>
    </row>
    <row r="15" spans="1:26" ht="15.75" customHeight="1" x14ac:dyDescent="0.2">
      <c r="A15" s="17"/>
      <c r="B15" s="24">
        <v>5</v>
      </c>
      <c r="C15" s="24">
        <v>1</v>
      </c>
      <c r="D15" s="24" t="s">
        <v>17</v>
      </c>
      <c r="E15" s="15"/>
      <c r="F15" s="27"/>
      <c r="G15" s="26">
        <v>6</v>
      </c>
      <c r="H15" s="28">
        <v>4</v>
      </c>
      <c r="I15" s="29"/>
      <c r="J15" s="15"/>
      <c r="K15" s="15"/>
      <c r="L15" s="15"/>
      <c r="M15" s="15"/>
      <c r="N15" s="15"/>
      <c r="O15" s="15"/>
      <c r="P15" s="15"/>
      <c r="Q15" s="15"/>
      <c r="R15" s="15"/>
      <c r="S15" s="15"/>
      <c r="T15" s="15"/>
      <c r="U15" s="15"/>
      <c r="V15" s="15"/>
      <c r="W15" s="15"/>
      <c r="X15" s="15"/>
      <c r="Y15" s="15"/>
      <c r="Z15" s="15"/>
    </row>
    <row r="16" spans="1:26" ht="15.75" customHeight="1" x14ac:dyDescent="0.2">
      <c r="A16" s="17"/>
      <c r="B16" s="24">
        <v>6</v>
      </c>
      <c r="C16" s="24">
        <v>1</v>
      </c>
      <c r="D16" s="24" t="s">
        <v>18</v>
      </c>
      <c r="F16" s="15"/>
      <c r="H16" s="16"/>
      <c r="I16" s="15"/>
      <c r="J16" s="15"/>
      <c r="K16" s="15"/>
      <c r="L16" s="15"/>
      <c r="M16" s="15"/>
      <c r="N16" s="15"/>
      <c r="O16" s="15"/>
      <c r="P16" s="15"/>
      <c r="Q16" s="15"/>
      <c r="R16" s="15"/>
      <c r="S16" s="15"/>
      <c r="T16" s="15"/>
      <c r="U16" s="15"/>
      <c r="V16" s="15"/>
      <c r="W16" s="15"/>
      <c r="X16" s="15"/>
      <c r="Y16" s="15"/>
      <c r="Z16" s="15"/>
    </row>
    <row r="17" spans="1:26" ht="15.75" customHeight="1" x14ac:dyDescent="0.2">
      <c r="A17" s="17"/>
      <c r="B17" s="24">
        <v>7</v>
      </c>
      <c r="C17" s="24">
        <v>0</v>
      </c>
      <c r="D17" s="24" t="s">
        <v>19</v>
      </c>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x14ac:dyDescent="0.2">
      <c r="A18" s="17"/>
      <c r="B18" s="24">
        <v>8</v>
      </c>
      <c r="C18" s="24">
        <v>0</v>
      </c>
      <c r="D18" s="24" t="s">
        <v>20</v>
      </c>
      <c r="E18" s="15"/>
      <c r="F18" s="19"/>
      <c r="G18" s="19"/>
      <c r="H18" s="15"/>
      <c r="I18" s="15"/>
      <c r="J18" s="15"/>
      <c r="K18" s="15"/>
      <c r="L18" s="15"/>
      <c r="M18" s="15"/>
      <c r="N18" s="15"/>
      <c r="O18" s="15"/>
      <c r="P18" s="15"/>
      <c r="Q18" s="15"/>
      <c r="R18" s="15"/>
      <c r="S18" s="15"/>
      <c r="T18" s="15"/>
      <c r="U18" s="15"/>
      <c r="V18" s="15"/>
      <c r="W18" s="15"/>
      <c r="X18" s="15"/>
      <c r="Y18" s="15"/>
      <c r="Z18" s="15"/>
    </row>
    <row r="19" spans="1:26" ht="15.75" customHeight="1" x14ac:dyDescent="0.2">
      <c r="A19" s="17"/>
      <c r="B19" s="24">
        <v>9</v>
      </c>
      <c r="C19" s="24">
        <v>0</v>
      </c>
      <c r="D19" s="24" t="s">
        <v>21</v>
      </c>
      <c r="E19" s="17"/>
      <c r="F19" s="19"/>
      <c r="G19" s="50" t="s">
        <v>22</v>
      </c>
      <c r="H19" s="51"/>
      <c r="I19" s="19"/>
      <c r="K19" s="15"/>
      <c r="L19" s="15"/>
      <c r="M19" s="15"/>
      <c r="N19" s="15"/>
      <c r="O19" s="15"/>
      <c r="P19" s="15"/>
      <c r="Q19" s="15"/>
      <c r="R19" s="15"/>
      <c r="S19" s="15"/>
      <c r="T19" s="15"/>
      <c r="U19" s="15"/>
      <c r="V19" s="15"/>
      <c r="W19" s="15"/>
      <c r="X19" s="15"/>
      <c r="Y19" s="15"/>
      <c r="Z19" s="15"/>
    </row>
    <row r="20" spans="1:26" ht="15.75" customHeight="1" x14ac:dyDescent="0.2">
      <c r="A20" s="17"/>
      <c r="B20" s="24">
        <v>10</v>
      </c>
      <c r="C20" s="24">
        <v>0</v>
      </c>
      <c r="D20" s="24" t="s">
        <v>23</v>
      </c>
      <c r="E20" s="15"/>
      <c r="F20" s="19"/>
      <c r="G20" s="30" t="s">
        <v>24</v>
      </c>
      <c r="H20" s="53">
        <f>(G13+H14)/(G13+H13+G14+H14)</f>
        <v>0.8</v>
      </c>
      <c r="I20" s="15"/>
      <c r="J20" s="15"/>
      <c r="K20" s="15"/>
      <c r="L20" s="15"/>
      <c r="M20" s="15"/>
      <c r="N20" s="15"/>
      <c r="O20" s="15"/>
      <c r="P20" s="15"/>
      <c r="Q20" s="15"/>
      <c r="R20" s="15"/>
      <c r="S20" s="15"/>
      <c r="T20" s="15"/>
      <c r="U20" s="15"/>
      <c r="V20" s="15"/>
      <c r="W20" s="15"/>
      <c r="X20" s="15"/>
      <c r="Y20" s="15"/>
      <c r="Z20" s="15"/>
    </row>
    <row r="21" spans="1:26" ht="15.75" customHeight="1" x14ac:dyDescent="0.2">
      <c r="A21" s="15"/>
      <c r="B21" s="16"/>
      <c r="C21" s="16"/>
      <c r="D21" s="15"/>
      <c r="E21" s="15"/>
      <c r="F21" s="19"/>
      <c r="G21" s="30" t="s">
        <v>25</v>
      </c>
      <c r="H21" s="53">
        <f>G13/(G13+H13)</f>
        <v>0.83333333333333337</v>
      </c>
      <c r="I21" s="15"/>
      <c r="J21" s="15"/>
      <c r="K21" s="15"/>
      <c r="L21" s="15"/>
      <c r="M21" s="15"/>
      <c r="N21" s="15"/>
      <c r="O21" s="15"/>
      <c r="P21" s="15"/>
      <c r="Q21" s="15"/>
      <c r="R21" s="15"/>
      <c r="S21" s="15"/>
      <c r="T21" s="15"/>
      <c r="U21" s="15"/>
      <c r="V21" s="15"/>
      <c r="W21" s="15"/>
      <c r="X21" s="15"/>
      <c r="Y21" s="15"/>
      <c r="Z21" s="15"/>
    </row>
    <row r="22" spans="1:26" ht="15.75" customHeight="1" x14ac:dyDescent="0.2">
      <c r="A22" s="15"/>
      <c r="B22" s="15"/>
      <c r="C22" s="15"/>
      <c r="D22" s="15"/>
      <c r="E22" s="18"/>
      <c r="F22" s="19"/>
      <c r="G22" s="30" t="s">
        <v>26</v>
      </c>
      <c r="H22" s="54">
        <f>G13/(G13+G14)</f>
        <v>0.83333333333333337</v>
      </c>
      <c r="I22" s="15"/>
      <c r="J22" s="15"/>
      <c r="K22" s="15"/>
      <c r="L22" s="15"/>
      <c r="M22" s="15"/>
      <c r="N22" s="15"/>
      <c r="O22" s="15"/>
      <c r="P22" s="15"/>
      <c r="Q22" s="15"/>
      <c r="R22" s="15"/>
      <c r="S22" s="15"/>
      <c r="T22" s="15"/>
      <c r="U22" s="15"/>
      <c r="V22" s="15"/>
      <c r="W22" s="15"/>
      <c r="X22" s="15"/>
      <c r="Y22" s="15"/>
      <c r="Z22" s="15"/>
    </row>
    <row r="23" spans="1:26" ht="15.75" customHeight="1" x14ac:dyDescent="0.2">
      <c r="A23" s="15"/>
      <c r="B23" s="15"/>
      <c r="C23" s="15"/>
      <c r="D23" s="15"/>
      <c r="E23" s="15"/>
      <c r="F23" s="19"/>
      <c r="G23" s="30" t="s">
        <v>27</v>
      </c>
      <c r="H23" s="53">
        <f>2*(H22*H21)/(H22+H21)</f>
        <v>0.83333333333333337</v>
      </c>
      <c r="I23" s="15"/>
      <c r="J23" s="15"/>
      <c r="K23" s="15"/>
      <c r="L23" s="15"/>
      <c r="M23" s="15"/>
      <c r="N23" s="15"/>
      <c r="O23" s="15"/>
      <c r="P23" s="15"/>
      <c r="Q23" s="15"/>
      <c r="R23" s="15"/>
      <c r="S23" s="15"/>
      <c r="T23" s="15"/>
      <c r="U23" s="15"/>
      <c r="V23" s="15"/>
      <c r="W23" s="15"/>
      <c r="X23" s="15"/>
      <c r="Y23" s="15"/>
      <c r="Z23" s="15"/>
    </row>
    <row r="24" spans="1:26" ht="15.75" customHeight="1" x14ac:dyDescent="0.15">
      <c r="A24" s="15"/>
      <c r="B24" s="15"/>
      <c r="C24" s="15"/>
      <c r="D24" s="19"/>
      <c r="E24" s="19"/>
      <c r="F24" s="19"/>
      <c r="G24" s="19"/>
      <c r="H24" s="15"/>
      <c r="I24" s="15"/>
      <c r="J24" s="15"/>
      <c r="K24" s="15"/>
      <c r="L24" s="15"/>
      <c r="M24" s="15"/>
      <c r="N24" s="15"/>
      <c r="O24" s="15"/>
      <c r="P24" s="15"/>
      <c r="Q24" s="15"/>
      <c r="R24" s="15"/>
      <c r="S24" s="15"/>
      <c r="T24" s="15"/>
      <c r="U24" s="15"/>
      <c r="V24" s="15"/>
      <c r="W24" s="15"/>
      <c r="X24" s="15"/>
      <c r="Y24" s="15"/>
      <c r="Z24" s="15"/>
    </row>
    <row r="25" spans="1:26" ht="15.75" customHeight="1" x14ac:dyDescent="0.15">
      <c r="A25" s="15"/>
      <c r="B25" s="15"/>
      <c r="C25" s="17"/>
      <c r="D25" s="31"/>
      <c r="E25" s="32"/>
      <c r="F25" s="15"/>
      <c r="G25" s="15"/>
      <c r="H25" s="18"/>
      <c r="I25" s="15"/>
      <c r="J25" s="15"/>
      <c r="K25" s="15"/>
      <c r="L25" s="15"/>
      <c r="M25" s="15"/>
      <c r="N25" s="15"/>
      <c r="O25" s="15"/>
      <c r="P25" s="15"/>
      <c r="Q25" s="15"/>
      <c r="R25" s="15"/>
      <c r="S25" s="15"/>
      <c r="T25" s="15"/>
      <c r="U25" s="15"/>
      <c r="V25" s="15"/>
      <c r="W25" s="15"/>
      <c r="X25" s="15"/>
      <c r="Y25" s="15"/>
      <c r="Z25" s="15"/>
    </row>
    <row r="26" spans="1:26" ht="15.75" customHeight="1" x14ac:dyDescent="0.15">
      <c r="A26" s="15"/>
      <c r="B26" s="15"/>
      <c r="C26" s="17"/>
      <c r="D26" s="31"/>
      <c r="E26" s="32"/>
      <c r="F26" s="15"/>
      <c r="G26" s="15"/>
      <c r="H26" s="18"/>
      <c r="I26" s="15"/>
      <c r="J26" s="15"/>
      <c r="K26" s="15"/>
      <c r="L26" s="15"/>
      <c r="M26" s="15"/>
      <c r="N26" s="15"/>
      <c r="O26" s="15"/>
      <c r="P26" s="15"/>
      <c r="Q26" s="15"/>
      <c r="R26" s="15"/>
      <c r="S26" s="15"/>
      <c r="T26" s="15"/>
      <c r="U26" s="15"/>
      <c r="V26" s="15"/>
      <c r="W26" s="15"/>
      <c r="X26" s="15"/>
      <c r="Y26" s="15"/>
      <c r="Z26" s="15"/>
    </row>
    <row r="27" spans="1:26" ht="15.75" customHeight="1" x14ac:dyDescent="0.15">
      <c r="A27" s="15"/>
      <c r="B27" s="15"/>
      <c r="C27" s="17"/>
      <c r="D27" s="31"/>
      <c r="E27" s="32"/>
      <c r="F27" s="15"/>
      <c r="G27" s="15"/>
      <c r="H27" s="18"/>
      <c r="I27" s="15"/>
      <c r="J27" s="15"/>
      <c r="K27" s="15"/>
      <c r="L27" s="15"/>
      <c r="M27" s="15"/>
      <c r="N27" s="15"/>
      <c r="O27" s="15"/>
      <c r="P27" s="15"/>
      <c r="Q27" s="15"/>
      <c r="R27" s="15"/>
      <c r="S27" s="15"/>
      <c r="T27" s="15"/>
      <c r="U27" s="15"/>
      <c r="V27" s="15"/>
      <c r="W27" s="15"/>
      <c r="X27" s="15"/>
      <c r="Y27" s="15"/>
      <c r="Z27" s="15"/>
    </row>
    <row r="28" spans="1:26" ht="15.75" customHeight="1" x14ac:dyDescent="0.15">
      <c r="A28" s="15"/>
      <c r="B28" s="15"/>
      <c r="C28" s="17"/>
      <c r="D28" s="31"/>
      <c r="E28" s="32"/>
      <c r="F28" s="15"/>
      <c r="G28" s="15"/>
      <c r="H28" s="18"/>
      <c r="I28" s="15"/>
      <c r="J28" s="15"/>
      <c r="K28" s="15"/>
      <c r="L28" s="15"/>
      <c r="M28" s="15"/>
      <c r="N28" s="15"/>
      <c r="O28" s="15"/>
      <c r="P28" s="15"/>
      <c r="Q28" s="15"/>
      <c r="R28" s="15"/>
      <c r="S28" s="15"/>
      <c r="T28" s="15"/>
      <c r="U28" s="15"/>
      <c r="V28" s="15"/>
      <c r="W28" s="15"/>
      <c r="X28" s="15"/>
      <c r="Y28" s="15"/>
      <c r="Z28" s="15"/>
    </row>
    <row r="29" spans="1:26" ht="15.75" customHeight="1" x14ac:dyDescent="0.15">
      <c r="A29" s="15"/>
      <c r="B29" s="15"/>
      <c r="C29" s="15"/>
      <c r="D29" s="16"/>
      <c r="E29" s="16"/>
      <c r="F29" s="16"/>
      <c r="G29" s="16"/>
      <c r="H29" s="15"/>
      <c r="I29" s="15"/>
      <c r="J29" s="15"/>
      <c r="K29" s="15"/>
      <c r="L29" s="15"/>
      <c r="M29" s="15"/>
      <c r="N29" s="15"/>
      <c r="O29" s="15"/>
      <c r="P29" s="15"/>
      <c r="Q29" s="15"/>
      <c r="R29" s="15"/>
      <c r="S29" s="15"/>
      <c r="T29" s="15"/>
      <c r="U29" s="15"/>
      <c r="V29" s="15"/>
      <c r="W29" s="15"/>
      <c r="X29" s="15"/>
      <c r="Y29" s="15"/>
      <c r="Z29" s="15"/>
    </row>
    <row r="30" spans="1:26" ht="15.75" customHeight="1" x14ac:dyDescent="0.1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ustomHeight="1" x14ac:dyDescent="0.1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ustomHeight="1" x14ac:dyDescent="0.2">
      <c r="A32" s="15"/>
      <c r="B32" s="5" t="s">
        <v>28</v>
      </c>
      <c r="C32" s="6"/>
      <c r="D32" s="2"/>
      <c r="E32" s="2"/>
      <c r="F32" s="7"/>
      <c r="G32" s="2"/>
      <c r="H32" s="15"/>
      <c r="I32" s="15"/>
      <c r="J32" s="15"/>
      <c r="K32" s="15"/>
      <c r="L32" s="15"/>
      <c r="M32" s="15"/>
      <c r="N32" s="15"/>
      <c r="O32" s="15"/>
      <c r="P32" s="15"/>
      <c r="Q32" s="15"/>
      <c r="R32" s="15"/>
      <c r="S32" s="15"/>
      <c r="T32" s="15"/>
      <c r="U32" s="15"/>
      <c r="V32" s="15"/>
      <c r="W32" s="15"/>
      <c r="X32" s="15"/>
      <c r="Y32" s="15"/>
      <c r="Z32" s="15"/>
    </row>
    <row r="33" spans="1:26" ht="15.75" customHeight="1" x14ac:dyDescent="0.15">
      <c r="A33" s="15"/>
      <c r="B33" s="52" t="s">
        <v>29</v>
      </c>
      <c r="C33" s="36"/>
      <c r="D33" s="36"/>
      <c r="E33" s="36"/>
      <c r="F33" s="36"/>
      <c r="G33" s="37"/>
      <c r="H33" s="15"/>
      <c r="I33" s="15"/>
      <c r="J33" s="15"/>
      <c r="K33" s="15"/>
      <c r="L33" s="15"/>
      <c r="M33" s="15"/>
      <c r="N33" s="15"/>
      <c r="O33" s="15"/>
      <c r="P33" s="15"/>
      <c r="Q33" s="15"/>
      <c r="R33" s="15"/>
      <c r="S33" s="15"/>
      <c r="T33" s="15"/>
      <c r="U33" s="15"/>
      <c r="V33" s="15"/>
      <c r="W33" s="15"/>
      <c r="X33" s="15"/>
      <c r="Y33" s="15"/>
      <c r="Z33" s="15"/>
    </row>
    <row r="34" spans="1:26" ht="38.25" customHeight="1" x14ac:dyDescent="0.15">
      <c r="A34" s="15"/>
      <c r="B34" s="38"/>
      <c r="C34" s="39"/>
      <c r="D34" s="39"/>
      <c r="E34" s="39"/>
      <c r="F34" s="39"/>
      <c r="G34" s="40"/>
      <c r="H34" s="15"/>
      <c r="I34" s="15"/>
      <c r="J34" s="15"/>
      <c r="K34" s="15"/>
      <c r="L34" s="15"/>
      <c r="M34" s="15"/>
      <c r="N34" s="15"/>
      <c r="O34" s="15"/>
      <c r="P34" s="15"/>
      <c r="Q34" s="15"/>
      <c r="R34" s="15"/>
      <c r="S34" s="15"/>
      <c r="T34" s="15"/>
      <c r="U34" s="15"/>
      <c r="V34" s="15"/>
      <c r="W34" s="15"/>
      <c r="X34" s="15"/>
      <c r="Y34" s="15"/>
      <c r="Z34" s="15"/>
    </row>
    <row r="35" spans="1:26" ht="48" customHeight="1" x14ac:dyDescent="0.15">
      <c r="A35" s="15"/>
      <c r="B35" s="41"/>
      <c r="C35" s="42"/>
      <c r="D35" s="42"/>
      <c r="E35" s="42"/>
      <c r="F35" s="42"/>
      <c r="G35" s="43"/>
      <c r="H35" s="15"/>
      <c r="I35" s="15"/>
      <c r="J35" s="15"/>
      <c r="K35" s="15"/>
      <c r="L35" s="15"/>
      <c r="M35" s="15"/>
      <c r="N35" s="15"/>
      <c r="O35" s="15"/>
      <c r="P35" s="15"/>
      <c r="Q35" s="15"/>
      <c r="R35" s="15"/>
      <c r="S35" s="15"/>
      <c r="T35" s="15"/>
      <c r="U35" s="15"/>
      <c r="V35" s="15"/>
      <c r="W35" s="15"/>
      <c r="X35" s="15"/>
      <c r="Y35" s="15"/>
      <c r="Z35" s="15"/>
    </row>
    <row r="36" spans="1:26" ht="15.75" customHeight="1" x14ac:dyDescent="0.1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x14ac:dyDescent="0.1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x14ac:dyDescent="0.15">
      <c r="A38" s="15"/>
      <c r="B38" s="20"/>
      <c r="C38" s="20"/>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customHeight="1" x14ac:dyDescent="0.1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customHeight="1" x14ac:dyDescent="0.15">
      <c r="A40" s="15"/>
      <c r="B40" s="15"/>
      <c r="C40" s="15"/>
      <c r="D40" s="19"/>
      <c r="E40" s="19"/>
      <c r="F40" s="15"/>
      <c r="G40" s="15"/>
      <c r="H40" s="15"/>
      <c r="I40" s="15"/>
      <c r="J40" s="15"/>
      <c r="K40" s="15"/>
      <c r="L40" s="15"/>
      <c r="M40" s="15"/>
      <c r="N40" s="15"/>
      <c r="O40" s="15"/>
      <c r="P40" s="15"/>
      <c r="Q40" s="15"/>
      <c r="R40" s="15"/>
      <c r="S40" s="15"/>
      <c r="T40" s="15"/>
      <c r="U40" s="15"/>
      <c r="V40" s="15"/>
      <c r="W40" s="15"/>
      <c r="X40" s="15"/>
      <c r="Y40" s="15"/>
      <c r="Z40" s="15"/>
    </row>
    <row r="41" spans="1:26" ht="15.75" customHeight="1" x14ac:dyDescent="0.2">
      <c r="A41" s="15"/>
      <c r="B41" s="15"/>
      <c r="C41" s="8"/>
      <c r="D41" s="9" t="s">
        <v>30</v>
      </c>
      <c r="E41" s="9" t="s">
        <v>31</v>
      </c>
      <c r="F41" s="25"/>
      <c r="G41" s="15"/>
      <c r="H41" s="15"/>
      <c r="I41" s="15"/>
      <c r="J41" s="15"/>
      <c r="K41" s="15"/>
      <c r="L41" s="15"/>
      <c r="M41" s="15"/>
      <c r="N41" s="15"/>
      <c r="O41" s="15"/>
      <c r="P41" s="15"/>
      <c r="Q41" s="15"/>
      <c r="R41" s="15"/>
      <c r="S41" s="15"/>
      <c r="T41" s="15"/>
      <c r="U41" s="15"/>
      <c r="V41" s="15"/>
      <c r="W41" s="15"/>
      <c r="X41" s="15"/>
      <c r="Y41" s="15"/>
      <c r="Z41" s="15"/>
    </row>
    <row r="42" spans="1:26" ht="15.75" customHeight="1" x14ac:dyDescent="0.2">
      <c r="A42" s="15"/>
      <c r="B42" s="17"/>
      <c r="C42" s="9" t="s">
        <v>30</v>
      </c>
      <c r="D42" s="12">
        <v>5</v>
      </c>
      <c r="E42" s="12">
        <v>5</v>
      </c>
      <c r="F42" s="12">
        <v>10</v>
      </c>
      <c r="G42" s="15"/>
      <c r="H42" s="15"/>
      <c r="I42" s="15"/>
      <c r="J42" s="15"/>
      <c r="K42" s="15"/>
      <c r="L42" s="15"/>
      <c r="M42" s="15"/>
      <c r="N42" s="15"/>
      <c r="O42" s="15"/>
      <c r="P42" s="15"/>
      <c r="Q42" s="15"/>
      <c r="R42" s="15"/>
      <c r="S42" s="15"/>
      <c r="T42" s="15"/>
      <c r="U42" s="15"/>
      <c r="V42" s="15"/>
      <c r="W42" s="15"/>
      <c r="X42" s="15"/>
      <c r="Y42" s="15"/>
      <c r="Z42" s="15"/>
    </row>
    <row r="43" spans="1:26" ht="15.75" customHeight="1" x14ac:dyDescent="0.2">
      <c r="A43" s="15"/>
      <c r="B43" s="17"/>
      <c r="C43" s="9" t="s">
        <v>31</v>
      </c>
      <c r="D43" s="12">
        <v>90</v>
      </c>
      <c r="E43" s="12">
        <v>900</v>
      </c>
      <c r="F43" s="12">
        <v>990</v>
      </c>
      <c r="G43" s="15"/>
      <c r="H43" s="15"/>
      <c r="I43" s="15"/>
      <c r="J43" s="15"/>
      <c r="K43" s="15"/>
      <c r="L43" s="15"/>
      <c r="M43" s="15"/>
      <c r="N43" s="15"/>
      <c r="O43" s="15"/>
      <c r="P43" s="15"/>
      <c r="Q43" s="15"/>
      <c r="R43" s="15"/>
      <c r="S43" s="15"/>
      <c r="T43" s="15"/>
      <c r="U43" s="15"/>
      <c r="V43" s="15"/>
      <c r="W43" s="15"/>
      <c r="X43" s="15"/>
      <c r="Y43" s="15"/>
      <c r="Z43" s="15"/>
    </row>
    <row r="44" spans="1:26" ht="15.75" customHeight="1" x14ac:dyDescent="0.15">
      <c r="A44" s="15"/>
      <c r="B44" s="15"/>
      <c r="C44" s="27"/>
      <c r="D44" s="12">
        <v>95</v>
      </c>
      <c r="E44" s="33">
        <v>905</v>
      </c>
      <c r="F44" s="34"/>
      <c r="G44" s="15"/>
      <c r="H44" s="15"/>
      <c r="I44" s="15"/>
      <c r="J44" s="15"/>
      <c r="K44" s="15"/>
      <c r="L44" s="15"/>
      <c r="M44" s="15"/>
      <c r="N44" s="15"/>
      <c r="O44" s="15"/>
      <c r="P44" s="15"/>
      <c r="Q44" s="15"/>
      <c r="R44" s="15"/>
      <c r="S44" s="15"/>
      <c r="T44" s="15"/>
      <c r="U44" s="15"/>
      <c r="V44" s="15"/>
      <c r="W44" s="15"/>
      <c r="X44" s="15"/>
      <c r="Y44" s="15"/>
      <c r="Z44" s="15"/>
    </row>
    <row r="45" spans="1:26" ht="15.75" customHeight="1" x14ac:dyDescent="0.15">
      <c r="A45" s="15"/>
      <c r="C45" s="15"/>
      <c r="E45" s="16"/>
      <c r="F45" s="15"/>
      <c r="G45" s="15"/>
      <c r="H45" s="15"/>
      <c r="I45" s="15"/>
      <c r="J45" s="15"/>
      <c r="K45" s="15"/>
      <c r="L45" s="15"/>
      <c r="M45" s="15"/>
      <c r="N45" s="15"/>
      <c r="O45" s="15"/>
      <c r="P45" s="15"/>
      <c r="Q45" s="15"/>
      <c r="R45" s="15"/>
      <c r="S45" s="15"/>
      <c r="T45" s="15"/>
      <c r="U45" s="15"/>
      <c r="V45" s="15"/>
      <c r="W45" s="15"/>
      <c r="X45" s="15"/>
      <c r="Y45" s="15"/>
      <c r="Z45" s="15"/>
    </row>
    <row r="46" spans="1:26" ht="15.75" customHeight="1" x14ac:dyDescent="0.1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x14ac:dyDescent="0.15">
      <c r="A47" s="15"/>
      <c r="B47" s="15"/>
      <c r="C47" s="15"/>
      <c r="D47" s="50" t="s">
        <v>22</v>
      </c>
      <c r="E47" s="51"/>
      <c r="F47" s="15"/>
      <c r="G47" s="15"/>
      <c r="H47" s="15"/>
      <c r="I47" s="15"/>
      <c r="J47" s="15"/>
      <c r="K47" s="15"/>
      <c r="L47" s="15"/>
      <c r="M47" s="15"/>
      <c r="N47" s="15"/>
      <c r="O47" s="15"/>
      <c r="P47" s="15"/>
      <c r="Q47" s="15"/>
      <c r="R47" s="15"/>
      <c r="S47" s="15"/>
      <c r="T47" s="15"/>
      <c r="U47" s="15"/>
      <c r="V47" s="15"/>
      <c r="W47" s="15"/>
      <c r="X47" s="15"/>
      <c r="Y47" s="15"/>
      <c r="Z47" s="15"/>
    </row>
    <row r="48" spans="1:26" ht="15.75" customHeight="1" x14ac:dyDescent="0.2">
      <c r="A48" s="15"/>
      <c r="B48" s="15"/>
      <c r="C48" s="15"/>
      <c r="D48" s="30" t="s">
        <v>24</v>
      </c>
      <c r="E48" s="53">
        <f>(D42+E43)/(D42+E42+D43+E43)</f>
        <v>0.90500000000000003</v>
      </c>
      <c r="F48" s="15"/>
      <c r="G48" s="15"/>
      <c r="H48" s="15"/>
      <c r="I48" s="15"/>
      <c r="J48" s="15"/>
      <c r="K48" s="15"/>
      <c r="L48" s="15"/>
      <c r="M48" s="15"/>
      <c r="N48" s="15"/>
      <c r="O48" s="15"/>
      <c r="P48" s="15"/>
      <c r="Q48" s="15"/>
      <c r="R48" s="15"/>
      <c r="S48" s="15"/>
      <c r="T48" s="15"/>
      <c r="U48" s="15"/>
      <c r="V48" s="15"/>
      <c r="W48" s="15"/>
      <c r="X48" s="15"/>
      <c r="Y48" s="15"/>
      <c r="Z48" s="15"/>
    </row>
    <row r="49" spans="1:26" ht="15.75" customHeight="1" x14ac:dyDescent="0.2">
      <c r="A49" s="15"/>
      <c r="B49" s="15"/>
      <c r="C49" s="15"/>
      <c r="D49" s="30" t="s">
        <v>25</v>
      </c>
      <c r="E49" s="53">
        <f>D42/(D42+E42)</f>
        <v>0.5</v>
      </c>
      <c r="F49" s="15"/>
      <c r="G49" s="15"/>
      <c r="H49" s="15"/>
      <c r="I49" s="15"/>
      <c r="J49" s="15"/>
      <c r="K49" s="15"/>
      <c r="L49" s="15"/>
      <c r="M49" s="15"/>
      <c r="N49" s="15"/>
      <c r="O49" s="15"/>
      <c r="P49" s="15"/>
      <c r="Q49" s="15"/>
      <c r="R49" s="15"/>
      <c r="S49" s="15"/>
      <c r="T49" s="15"/>
      <c r="U49" s="15"/>
      <c r="V49" s="15"/>
      <c r="W49" s="15"/>
      <c r="X49" s="15"/>
      <c r="Y49" s="15"/>
      <c r="Z49" s="15"/>
    </row>
    <row r="50" spans="1:26" ht="15.75" customHeight="1" x14ac:dyDescent="0.2">
      <c r="A50" s="15"/>
      <c r="B50" s="15"/>
      <c r="C50" s="15"/>
      <c r="D50" s="30" t="s">
        <v>26</v>
      </c>
      <c r="E50" s="53">
        <f>D42/(D42+D43)</f>
        <v>5.2631578947368418E-2</v>
      </c>
      <c r="F50" s="15"/>
      <c r="G50" s="15"/>
      <c r="H50" s="15"/>
      <c r="I50" s="15"/>
      <c r="J50" s="15"/>
      <c r="K50" s="15"/>
      <c r="L50" s="15"/>
      <c r="M50" s="15"/>
      <c r="N50" s="15"/>
      <c r="O50" s="15"/>
      <c r="P50" s="15"/>
      <c r="Q50" s="15"/>
      <c r="R50" s="15"/>
      <c r="S50" s="15"/>
      <c r="T50" s="15"/>
      <c r="U50" s="15"/>
      <c r="V50" s="15"/>
      <c r="W50" s="15"/>
      <c r="X50" s="15"/>
      <c r="Y50" s="15"/>
      <c r="Z50" s="15"/>
    </row>
    <row r="51" spans="1:26" ht="15.75" customHeight="1" x14ac:dyDescent="0.2">
      <c r="A51" s="15"/>
      <c r="B51" s="15"/>
      <c r="C51" s="15"/>
      <c r="D51" s="30" t="s">
        <v>27</v>
      </c>
      <c r="E51" s="53">
        <f>2*(E50*E49)/(E50+E49)</f>
        <v>9.5238095238095247E-2</v>
      </c>
      <c r="F51" s="15"/>
      <c r="G51" s="15"/>
      <c r="H51" s="15"/>
      <c r="I51" s="15"/>
      <c r="J51" s="15"/>
      <c r="K51" s="15"/>
      <c r="L51" s="15"/>
      <c r="M51" s="15"/>
      <c r="N51" s="15"/>
      <c r="O51" s="15"/>
      <c r="P51" s="15"/>
      <c r="Q51" s="15"/>
      <c r="R51" s="15"/>
      <c r="S51" s="15"/>
      <c r="T51" s="15"/>
      <c r="U51" s="15"/>
      <c r="V51" s="15"/>
      <c r="W51" s="15"/>
      <c r="X51" s="15"/>
      <c r="Y51" s="15"/>
      <c r="Z51" s="15"/>
    </row>
    <row r="52" spans="1:26" ht="15.75" customHeight="1" x14ac:dyDescent="0.1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ustomHeight="1" x14ac:dyDescent="0.1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ustomHeight="1" x14ac:dyDescent="0.1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ustomHeight="1" x14ac:dyDescent="0.1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ustomHeight="1" x14ac:dyDescent="0.1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ustomHeight="1" x14ac:dyDescent="0.1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ustomHeight="1" x14ac:dyDescent="0.1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ustomHeight="1" x14ac:dyDescent="0.1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x14ac:dyDescent="0.1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ustomHeight="1" x14ac:dyDescent="0.1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ustomHeight="1" x14ac:dyDescent="0.1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ustomHeight="1" x14ac:dyDescent="0.1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ustomHeight="1" x14ac:dyDescent="0.1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ustomHeight="1" x14ac:dyDescent="0.1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ustomHeight="1" x14ac:dyDescent="0.1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ustomHeight="1" x14ac:dyDescent="0.1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ustomHeight="1" x14ac:dyDescent="0.1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ustomHeight="1" x14ac:dyDescent="0.1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ustomHeight="1" x14ac:dyDescent="0.1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ustomHeight="1" x14ac:dyDescent="0.1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ustomHeight="1" x14ac:dyDescent="0.1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ustomHeight="1" x14ac:dyDescent="0.1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ustomHeight="1" x14ac:dyDescent="0.1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ustomHeight="1" x14ac:dyDescent="0.1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ustomHeight="1" x14ac:dyDescent="0.1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ustomHeight="1" x14ac:dyDescent="0.1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ustomHeight="1" x14ac:dyDescent="0.1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ustomHeight="1" x14ac:dyDescent="0.1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ustomHeight="1" x14ac:dyDescent="0.1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customHeight="1" x14ac:dyDescent="0.1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customHeight="1" x14ac:dyDescent="0.1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customHeight="1" x14ac:dyDescent="0.1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customHeight="1" x14ac:dyDescent="0.1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customHeight="1" x14ac:dyDescent="0.1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customHeight="1" x14ac:dyDescent="0.1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customHeight="1" x14ac:dyDescent="0.1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customHeight="1" x14ac:dyDescent="0.1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customHeight="1" x14ac:dyDescent="0.1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customHeight="1" x14ac:dyDescent="0.1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customHeight="1" x14ac:dyDescent="0.1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customHeight="1" x14ac:dyDescent="0.1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customHeight="1" x14ac:dyDescent="0.1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customHeight="1" x14ac:dyDescent="0.1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customHeight="1" x14ac:dyDescent="0.1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customHeight="1" x14ac:dyDescent="0.1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customHeight="1" x14ac:dyDescent="0.1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customHeight="1" x14ac:dyDescent="0.1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customHeight="1" x14ac:dyDescent="0.1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customHeight="1" x14ac:dyDescent="0.1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customHeight="1" x14ac:dyDescent="0.1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customHeight="1" x14ac:dyDescent="0.1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customHeight="1" x14ac:dyDescent="0.1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customHeight="1" x14ac:dyDescent="0.1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customHeight="1" x14ac:dyDescent="0.1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customHeight="1" x14ac:dyDescent="0.1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customHeight="1" x14ac:dyDescent="0.1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customHeight="1" x14ac:dyDescent="0.1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customHeight="1" x14ac:dyDescent="0.1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customHeight="1" x14ac:dyDescent="0.1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customHeight="1" x14ac:dyDescent="0.1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customHeight="1" x14ac:dyDescent="0.1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customHeight="1" x14ac:dyDescent="0.1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customHeight="1" x14ac:dyDescent="0.1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customHeight="1" x14ac:dyDescent="0.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customHeight="1" x14ac:dyDescent="0.1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customHeight="1" x14ac:dyDescent="0.1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customHeight="1" x14ac:dyDescent="0.1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customHeight="1" x14ac:dyDescent="0.1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customHeight="1" x14ac:dyDescent="0.1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customHeight="1" x14ac:dyDescent="0.1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customHeight="1" x14ac:dyDescent="0.1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customHeight="1" x14ac:dyDescent="0.1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customHeight="1" x14ac:dyDescent="0.1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customHeight="1" x14ac:dyDescent="0.1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customHeight="1" x14ac:dyDescent="0.1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customHeight="1" x14ac:dyDescent="0.1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customHeight="1"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customHeight="1" x14ac:dyDescent="0.1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customHeight="1" x14ac:dyDescent="0.1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customHeight="1" x14ac:dyDescent="0.1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customHeight="1" x14ac:dyDescent="0.1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customHeight="1" x14ac:dyDescent="0.1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customHeight="1" x14ac:dyDescent="0.1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customHeight="1" x14ac:dyDescent="0.1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customHeight="1" x14ac:dyDescent="0.1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customHeight="1" x14ac:dyDescent="0.1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customHeight="1" x14ac:dyDescent="0.1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customHeight="1" x14ac:dyDescent="0.1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customHeight="1" x14ac:dyDescent="0.1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customHeight="1" x14ac:dyDescent="0.1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customHeight="1" x14ac:dyDescent="0.1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customHeight="1" x14ac:dyDescent="0.1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customHeight="1" x14ac:dyDescent="0.1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customHeight="1" x14ac:dyDescent="0.1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customHeight="1"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customHeight="1" x14ac:dyDescent="0.1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customHeight="1" x14ac:dyDescent="0.1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customHeight="1" x14ac:dyDescent="0.1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customHeight="1" x14ac:dyDescent="0.1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customHeight="1" x14ac:dyDescent="0.1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customHeight="1" x14ac:dyDescent="0.1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customHeight="1" x14ac:dyDescent="0.1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customHeight="1" x14ac:dyDescent="0.1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customHeight="1" x14ac:dyDescent="0.1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customHeight="1" x14ac:dyDescent="0.1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customHeight="1" x14ac:dyDescent="0.1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customHeight="1" x14ac:dyDescent="0.1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customHeight="1" x14ac:dyDescent="0.1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customHeight="1" x14ac:dyDescent="0.1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customHeight="1" x14ac:dyDescent="0.1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customHeight="1" x14ac:dyDescent="0.1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customHeight="1" x14ac:dyDescent="0.1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customHeight="1" x14ac:dyDescent="0.1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customHeight="1" x14ac:dyDescent="0.1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customHeight="1" x14ac:dyDescent="0.1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customHeight="1" x14ac:dyDescent="0.1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customHeight="1" x14ac:dyDescent="0.1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customHeight="1" x14ac:dyDescent="0.1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customHeight="1" x14ac:dyDescent="0.1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customHeight="1" x14ac:dyDescent="0.1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customHeight="1" x14ac:dyDescent="0.1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customHeight="1" x14ac:dyDescent="0.1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customHeight="1" x14ac:dyDescent="0.1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customHeight="1" x14ac:dyDescent="0.1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customHeight="1" x14ac:dyDescent="0.1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customHeight="1" x14ac:dyDescent="0.1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customHeight="1" x14ac:dyDescent="0.1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customHeight="1" x14ac:dyDescent="0.1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customHeight="1" x14ac:dyDescent="0.1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customHeight="1" x14ac:dyDescent="0.1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customHeight="1" x14ac:dyDescent="0.1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customHeight="1" x14ac:dyDescent="0.1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customHeight="1" x14ac:dyDescent="0.1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customHeight="1" x14ac:dyDescent="0.1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customHeight="1" x14ac:dyDescent="0.1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customHeight="1" x14ac:dyDescent="0.1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customHeight="1" x14ac:dyDescent="0.1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customHeight="1" x14ac:dyDescent="0.1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customHeight="1" x14ac:dyDescent="0.1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customHeight="1" x14ac:dyDescent="0.1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customHeight="1" x14ac:dyDescent="0.1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customHeight="1" x14ac:dyDescent="0.1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customHeight="1" x14ac:dyDescent="0.1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customHeight="1" x14ac:dyDescent="0.1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customHeight="1" x14ac:dyDescent="0.1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customHeight="1" x14ac:dyDescent="0.1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customHeight="1" x14ac:dyDescent="0.1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customHeight="1" x14ac:dyDescent="0.1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customHeight="1" x14ac:dyDescent="0.1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customHeight="1" x14ac:dyDescent="0.1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customHeight="1" x14ac:dyDescent="0.1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customHeight="1" x14ac:dyDescent="0.1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customHeight="1" x14ac:dyDescent="0.1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customHeight="1" x14ac:dyDescent="0.1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customHeight="1" x14ac:dyDescent="0.1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customHeight="1" x14ac:dyDescent="0.1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customHeight="1" x14ac:dyDescent="0.1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customHeight="1" x14ac:dyDescent="0.1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customHeight="1" x14ac:dyDescent="0.1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customHeight="1" x14ac:dyDescent="0.1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customHeight="1" x14ac:dyDescent="0.1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customHeight="1"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customHeight="1"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customHeight="1"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customHeight="1" x14ac:dyDescent="0.1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customHeight="1" x14ac:dyDescent="0.1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customHeight="1" x14ac:dyDescent="0.1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1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customHeight="1" x14ac:dyDescent="0.1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customHeight="1" x14ac:dyDescent="0.1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customHeight="1" x14ac:dyDescent="0.1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customHeight="1" x14ac:dyDescent="0.1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customHeight="1" x14ac:dyDescent="0.1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customHeight="1"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customHeight="1"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customHeight="1"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customHeight="1" x14ac:dyDescent="0.1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customHeight="1" x14ac:dyDescent="0.1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customHeight="1" x14ac:dyDescent="0.1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customHeight="1" x14ac:dyDescent="0.1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customHeight="1" x14ac:dyDescent="0.1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customHeight="1" x14ac:dyDescent="0.1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customHeight="1" x14ac:dyDescent="0.1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customHeight="1" x14ac:dyDescent="0.1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customHeight="1" x14ac:dyDescent="0.1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75" customHeight="1" x14ac:dyDescent="0.1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customHeight="1" x14ac:dyDescent="0.1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customHeight="1" x14ac:dyDescent="0.1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customHeight="1" x14ac:dyDescent="0.1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customHeight="1" x14ac:dyDescent="0.1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customHeight="1" x14ac:dyDescent="0.1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customHeight="1" x14ac:dyDescent="0.1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customHeight="1"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customHeight="1" x14ac:dyDescent="0.1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75" customHeight="1"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75" customHeight="1" x14ac:dyDescent="0.1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75" customHeight="1" x14ac:dyDescent="0.1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75" customHeight="1" x14ac:dyDescent="0.1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75" customHeight="1" x14ac:dyDescent="0.1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75" customHeight="1" x14ac:dyDescent="0.1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75" customHeight="1" x14ac:dyDescent="0.15"/>
    <row r="253" spans="1:26" ht="15.75" customHeight="1" x14ac:dyDescent="0.15"/>
    <row r="254" spans="1:26" ht="15.75" customHeight="1" x14ac:dyDescent="0.15"/>
    <row r="255" spans="1:26" ht="15.75" customHeight="1" x14ac:dyDescent="0.15"/>
    <row r="256" spans="1:2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5">
    <mergeCell ref="B3:G5"/>
    <mergeCell ref="I5:M7"/>
    <mergeCell ref="G19:H19"/>
    <mergeCell ref="B33:G35"/>
    <mergeCell ref="D47:E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Görev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Biser Boychinov</cp:lastModifiedBy>
  <dcterms:modified xsi:type="dcterms:W3CDTF">2025-11-09T01:24:48Z</dcterms:modified>
</cp:coreProperties>
</file>